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3"/>
    <sheet name="Расходы Фирмы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<sst xmlns="http://schemas.openxmlformats.org/spreadsheetml/2006/main" count="38" uniqueCount="36">
  <si>
    <t xml:space="preserve">Тороговый бюджет 2023 финансовый год </t>
  </si>
  <si>
    <t xml:space="preserve">Составила</t>
  </si>
  <si>
    <t xml:space="preserve">Заховаева В.А</t>
  </si>
  <si>
    <t xml:space="preserve">Дата</t>
  </si>
  <si>
    <t xml:space="preserve">Исходные данные</t>
  </si>
  <si>
    <t xml:space="preserve">Темпы роста</t>
  </si>
  <si>
    <t xml:space="preserve">Рост объема продаж</t>
  </si>
  <si>
    <t xml:space="preserve">Удороожение товаров</t>
  </si>
  <si>
    <t xml:space="preserve">Отчет</t>
  </si>
  <si>
    <t xml:space="preserve">март</t>
  </si>
  <si>
    <t xml:space="preserve">Апрель</t>
  </si>
  <si>
    <t xml:space="preserve">Май</t>
  </si>
  <si>
    <t xml:space="preserve">Июнь</t>
  </si>
  <si>
    <t xml:space="preserve">Июль</t>
  </si>
  <si>
    <t xml:space="preserve">Август</t>
  </si>
  <si>
    <t xml:space="preserve">Всего</t>
  </si>
  <si>
    <t xml:space="preserve">Приход</t>
  </si>
  <si>
    <t xml:space="preserve">Затраты на товар </t>
  </si>
  <si>
    <t xml:space="preserve">Полная выручка</t>
  </si>
  <si>
    <t xml:space="preserve">Статья расходов </t>
  </si>
  <si>
    <t xml:space="preserve">Реклама</t>
  </si>
  <si>
    <t xml:space="preserve">Аренда помещений </t>
  </si>
  <si>
    <t xml:space="preserve">Налоги и выплаты </t>
  </si>
  <si>
    <t xml:space="preserve">Проценты по кредитам </t>
  </si>
  <si>
    <t xml:space="preserve">Расходы всего</t>
  </si>
  <si>
    <t xml:space="preserve">Прибыль</t>
  </si>
  <si>
    <t xml:space="preserve">Расходы фирмы за второе полугодите</t>
  </si>
  <si>
    <t xml:space="preserve">месяц</t>
  </si>
  <si>
    <t xml:space="preserve">Аренда</t>
  </si>
  <si>
    <t xml:space="preserve">Заработная плата</t>
  </si>
  <si>
    <t xml:space="preserve">Материал</t>
  </si>
  <si>
    <t xml:space="preserve">Общие расходы</t>
  </si>
  <si>
    <t xml:space="preserve">Сентябрь</t>
  </si>
  <si>
    <t xml:space="preserve">Октябрь</t>
  </si>
  <si>
    <t xml:space="preserve">Ноябрь</t>
  </si>
  <si>
    <t xml:space="preserve">Декабрь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</si>
</sst>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Open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0" width="17.11"/>
    <col collapsed="false" customWidth="true" hidden="false" outlineLevel="0" max="2" min="2" style="0" width="20.8"/>
  </cols>
  <sheetData>
    <row r="1" customFormat="false" ht="14.35" hidden="false" customHeight="false" outlineLevel="0" collapsed="false">
      <c r="B1" s="0" t="s">
        <v>0</v>
      </c>
    </row>
    <row r="3" customFormat="false" ht="14.35" hidden="false" customHeight="false" outlineLevel="0" collapsed="false">
      <c r="A3" s="0" t="s">
        <v>1</v>
      </c>
      <c r="B3" s="0" t="s">
        <v>2</v>
      </c>
    </row>
    <row r="4" customFormat="false" ht="14.35" hidden="false" customHeight="false" outlineLevel="0" collapsed="false">
      <c r="A4" s="0" t="s">
        <v>3</v>
      </c>
    </row>
    <row r="6" customFormat="false" ht="14.35" hidden="false" customHeight="false" outlineLevel="0" collapsed="false">
      <c r="A6" s="0" t="s">
        <v>4</v>
      </c>
      <c r="B6" s="0" t="s">
        <v>5</v>
      </c>
    </row>
    <row r="7" customFormat="false" ht="14.35" hidden="false" customHeight="false" outlineLevel="0" collapsed="false">
      <c r="B7" s="0" t="s">
        <v>6</v>
      </c>
      <c r="C7" s="0" t="n">
        <v>1.5</v>
      </c>
    </row>
    <row r="8" customFormat="false" ht="14.35" hidden="false" customHeight="false" outlineLevel="0" collapsed="false">
      <c r="B8" s="0" t="s">
        <v>7</v>
      </c>
      <c r="C8" s="0" t="n">
        <v>0.9</v>
      </c>
    </row>
    <row r="10" customFormat="false" ht="14.35" hidden="false" customHeight="false" outlineLevel="0" collapsed="false">
      <c r="A10" s="0" t="s">
        <v>8</v>
      </c>
      <c r="C10" s="0" t="s">
        <v>9</v>
      </c>
      <c r="D10" s="0" t="s">
        <v>10</v>
      </c>
      <c r="E10" s="0" t="s">
        <v>11</v>
      </c>
      <c r="F10" s="0" t="s">
        <v>12</v>
      </c>
      <c r="G10" s="0" t="s">
        <v>13</v>
      </c>
      <c r="H10" s="0" t="s">
        <v>14</v>
      </c>
      <c r="I10" s="0" t="s">
        <v>15</v>
      </c>
    </row>
    <row r="11" customFormat="false" ht="14.35" hidden="false" customHeight="false" outlineLevel="0" collapsed="false">
      <c r="B11" s="0" t="s">
        <v>16</v>
      </c>
      <c r="C11" s="0" t="n">
        <v>32550</v>
      </c>
      <c r="D11" s="0" t="n">
        <v>33038</v>
      </c>
      <c r="E11" s="0" t="n">
        <v>33534</v>
      </c>
      <c r="F11" s="0" t="n">
        <v>34047</v>
      </c>
      <c r="G11" s="0" t="n">
        <v>34047</v>
      </c>
      <c r="H11" s="0" t="n">
        <v>35066</v>
      </c>
      <c r="I11" s="0" t="n">
        <f aca="false">SUM(C11:H11)</f>
        <v>202282</v>
      </c>
    </row>
    <row r="12" customFormat="false" ht="14.35" hidden="false" customHeight="false" outlineLevel="0" collapsed="false">
      <c r="B12" s="0" t="s">
        <v>17</v>
      </c>
      <c r="C12" s="0" t="n">
        <v>19316</v>
      </c>
      <c r="D12" s="0" t="n">
        <v>19490</v>
      </c>
      <c r="E12" s="0" t="n">
        <v>19665</v>
      </c>
      <c r="F12" s="0" t="n">
        <v>19842</v>
      </c>
      <c r="G12" s="0" t="n">
        <v>19842</v>
      </c>
      <c r="H12" s="0" t="n">
        <v>20021</v>
      </c>
      <c r="I12" s="0" t="n">
        <f aca="false">SUM(C12:H12)</f>
        <v>118176</v>
      </c>
    </row>
    <row r="13" customFormat="false" ht="14.35" hidden="false" customHeight="false" outlineLevel="0" collapsed="false">
      <c r="B13" s="0" t="s">
        <v>18</v>
      </c>
      <c r="C13" s="0" t="n">
        <v>13234</v>
      </c>
      <c r="D13" s="0" t="n">
        <v>13548</v>
      </c>
      <c r="E13" s="0" t="n">
        <v>13869</v>
      </c>
      <c r="F13" s="0" t="n">
        <v>14195</v>
      </c>
      <c r="G13" s="0" t="n">
        <v>14195</v>
      </c>
      <c r="H13" s="0" t="n">
        <v>14865</v>
      </c>
      <c r="I13" s="0" t="n">
        <f aca="false">SUM(C13:H13)</f>
        <v>83906</v>
      </c>
    </row>
    <row r="14" customFormat="false" ht="14.35" hidden="false" customHeight="false" outlineLevel="0" collapsed="false">
      <c r="B14" s="0" t="s">
        <v>19</v>
      </c>
    </row>
    <row r="15" customFormat="false" ht="14.35" hidden="false" customHeight="false" outlineLevel="0" collapsed="false">
      <c r="B15" s="0" t="s">
        <v>20</v>
      </c>
      <c r="C15" s="0" t="n">
        <v>4000</v>
      </c>
      <c r="D15" s="0" t="n">
        <v>4000</v>
      </c>
      <c r="E15" s="0" t="n">
        <v>4000</v>
      </c>
      <c r="F15" s="0" t="n">
        <v>4000</v>
      </c>
      <c r="G15" s="0" t="n">
        <v>4000</v>
      </c>
      <c r="H15" s="0" t="n">
        <v>4000</v>
      </c>
      <c r="I15" s="0" t="n">
        <f aca="false">SUM(C15:H15)</f>
        <v>24000</v>
      </c>
    </row>
    <row r="16" customFormat="false" ht="14.35" hidden="false" customHeight="false" outlineLevel="0" collapsed="false">
      <c r="B16" s="0" t="s">
        <v>21</v>
      </c>
      <c r="C16" s="0" t="n">
        <v>500</v>
      </c>
      <c r="D16" s="0" t="n">
        <v>500</v>
      </c>
      <c r="E16" s="0" t="n">
        <v>500</v>
      </c>
      <c r="F16" s="0" t="n">
        <v>500</v>
      </c>
      <c r="G16" s="0" t="n">
        <v>500</v>
      </c>
      <c r="H16" s="0" t="n">
        <v>500</v>
      </c>
      <c r="I16" s="0" t="n">
        <f aca="false">SUM(C16:H16)</f>
        <v>3000</v>
      </c>
    </row>
    <row r="17" customFormat="false" ht="14.35" hidden="false" customHeight="false" outlineLevel="0" collapsed="false">
      <c r="B17" s="0" t="s">
        <v>22</v>
      </c>
      <c r="C17" s="0" t="n">
        <v>240</v>
      </c>
      <c r="D17" s="0" t="n">
        <v>241</v>
      </c>
      <c r="E17" s="0" t="n">
        <v>242</v>
      </c>
      <c r="F17" s="0" t="n">
        <v>243</v>
      </c>
      <c r="G17" s="0" t="n">
        <v>244</v>
      </c>
      <c r="H17" s="0" t="n">
        <v>245</v>
      </c>
      <c r="I17" s="0" t="n">
        <f aca="false">SUM(C17:H17)</f>
        <v>1455</v>
      </c>
    </row>
    <row r="18" customFormat="false" ht="14.35" hidden="false" customHeight="false" outlineLevel="0" collapsed="false">
      <c r="B18" s="0" t="s">
        <v>23</v>
      </c>
      <c r="C18" s="0" t="n">
        <v>800</v>
      </c>
      <c r="D18" s="0" t="n">
        <v>807</v>
      </c>
      <c r="E18" s="0" t="n">
        <v>814</v>
      </c>
      <c r="F18" s="0" t="n">
        <v>821</v>
      </c>
      <c r="G18" s="0" t="n">
        <v>828</v>
      </c>
      <c r="H18" s="0" t="n">
        <v>835</v>
      </c>
      <c r="I18" s="0" t="n">
        <f aca="false">SUM(C18:H18)</f>
        <v>4905</v>
      </c>
    </row>
    <row r="19" customFormat="false" ht="14.35" hidden="false" customHeight="false" outlineLevel="0" collapsed="false">
      <c r="B19" s="0" t="s">
        <v>24</v>
      </c>
      <c r="C19" s="0" t="n">
        <f aca="false">SUM(C15:C18)</f>
        <v>5540</v>
      </c>
      <c r="D19" s="0" t="n">
        <f aca="false">SUM(D15:D18)</f>
        <v>5548</v>
      </c>
      <c r="E19" s="0" t="n">
        <f aca="false">SUM(E15:E18)</f>
        <v>5556</v>
      </c>
      <c r="F19" s="0" t="n">
        <f aca="false">SUM(F15:F18)</f>
        <v>5564</v>
      </c>
      <c r="G19" s="0" t="n">
        <f aca="false">SUM(G15:G18)</f>
        <v>5572</v>
      </c>
      <c r="H19" s="0" t="n">
        <f aca="false">SUM(H15:H18)</f>
        <v>5580</v>
      </c>
    </row>
    <row r="20" customFormat="false" ht="14.35" hidden="false" customHeight="false" outlineLevel="0" collapsed="false">
      <c r="B20" s="0" t="s">
        <v>25</v>
      </c>
      <c r="C20" s="0" t="n">
        <f aca="false">C13-C19</f>
        <v>7694</v>
      </c>
      <c r="D20" s="0" t="n">
        <f aca="false">D13-D19</f>
        <v>8000</v>
      </c>
      <c r="E20" s="0" t="n">
        <f aca="false">E13-E19</f>
        <v>8313</v>
      </c>
      <c r="F20" s="0" t="n">
        <f aca="false">F13-F19</f>
        <v>8631</v>
      </c>
      <c r="G20" s="0" t="n">
        <f aca="false">G13-G19</f>
        <v>8623</v>
      </c>
      <c r="H20" s="0" t="n">
        <f aca="false">H13-H19</f>
        <v>9285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0" width="13.09"/>
    <col collapsed="false" customWidth="true" hidden="false" outlineLevel="0" max="2" min="2" style="0" width="20.8"/>
    <col collapsed="false" customWidth="true" hidden="false" outlineLevel="0" max="3" min="3" style="0" width="16.81"/>
    <col collapsed="false" customWidth="true" hidden="false" outlineLevel="0" max="5" min="5" style="0" width="14.6"/>
    <col collapsed="false" customWidth="true" hidden="false" outlineLevel="0" max="6" min="6" style="0" width="14.32"/>
  </cols>
  <sheetData>
    <row r="1" customFormat="false" ht="14.35" hidden="false" customHeight="false" outlineLevel="0" collapsed="false">
      <c r="A1" s="0" t="s">
        <v>26</v>
      </c>
    </row>
    <row r="3" customFormat="false" ht="14.35" hidden="false" customHeight="false" outlineLevel="0" collapsed="false">
      <c r="A3" s="0" t="s">
        <v>27</v>
      </c>
      <c r="B3" s="0" t="s">
        <v>28</v>
      </c>
      <c r="C3" s="0" t="s">
        <v>29</v>
      </c>
      <c r="D3" s="0" t="s">
        <v>30</v>
      </c>
      <c r="E3" s="0" t="s">
        <v>31</v>
      </c>
    </row>
    <row r="5" customFormat="false" ht="14.35" hidden="false" customHeight="false" outlineLevel="0" collapsed="false">
      <c r="A5" s="0" t="s">
        <v>13</v>
      </c>
      <c r="B5" s="0" t="n">
        <v>35000</v>
      </c>
      <c r="C5" s="0" t="n">
        <v>8400</v>
      </c>
      <c r="D5" s="0" t="n">
        <v>28000</v>
      </c>
      <c r="E5" s="0" t="n">
        <f aca="false">SUM(B5:D5)</f>
        <v>71400</v>
      </c>
    </row>
    <row r="6" customFormat="false" ht="14.35" hidden="false" customHeight="false" outlineLevel="0" collapsed="false">
      <c r="A6" s="0" t="s">
        <v>14</v>
      </c>
      <c r="B6" s="0" t="n">
        <v>35000</v>
      </c>
      <c r="C6" s="0" t="n">
        <v>8400</v>
      </c>
      <c r="D6" s="0" t="n">
        <v>31500</v>
      </c>
      <c r="E6" s="0" t="n">
        <f aca="false">SUM(B6:D6)</f>
        <v>74900</v>
      </c>
    </row>
    <row r="7" customFormat="false" ht="14.35" hidden="false" customHeight="false" outlineLevel="0" collapsed="false">
      <c r="A7" s="0" t="s">
        <v>32</v>
      </c>
      <c r="B7" s="0" t="n">
        <v>35000</v>
      </c>
      <c r="C7" s="0" t="n">
        <v>9100</v>
      </c>
      <c r="D7" s="0" t="n">
        <v>31500</v>
      </c>
      <c r="E7" s="0" t="n">
        <f aca="false">SUM(B7:D7)</f>
        <v>75600</v>
      </c>
    </row>
    <row r="8" customFormat="false" ht="14.35" hidden="false" customHeight="false" outlineLevel="0" collapsed="false">
      <c r="A8" s="0" t="s">
        <v>33</v>
      </c>
      <c r="B8" s="0" t="n">
        <v>42000</v>
      </c>
      <c r="C8" s="0" t="n">
        <v>9100</v>
      </c>
      <c r="D8" s="0" t="n">
        <v>34500</v>
      </c>
      <c r="E8" s="0" t="n">
        <f aca="false">SUM(B8:D8)</f>
        <v>85600</v>
      </c>
    </row>
    <row r="9" customFormat="false" ht="14.35" hidden="false" customHeight="false" outlineLevel="0" collapsed="false">
      <c r="A9" s="0" t="s">
        <v>34</v>
      </c>
      <c r="B9" s="0" t="n">
        <v>42000</v>
      </c>
      <c r="C9" s="0" t="n">
        <v>9100</v>
      </c>
      <c r="D9" s="0" t="n">
        <v>35000</v>
      </c>
      <c r="E9" s="0" t="n">
        <f aca="false">SUM(B9:D9)</f>
        <v>86100</v>
      </c>
    </row>
    <row r="10" customFormat="false" ht="14.35" hidden="false" customHeight="false" outlineLevel="0" collapsed="false">
      <c r="A10" s="0" t="s">
        <v>35</v>
      </c>
      <c r="B10" s="0" t="n">
        <v>42000</v>
      </c>
      <c r="C10" s="0" t="n">
        <v>9800</v>
      </c>
      <c r="D10" s="0" t="n">
        <v>38500</v>
      </c>
      <c r="E10" s="0" t="n">
        <f aca="false">SUM(B10:D10)</f>
        <v>90300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LibreOffice/24.8.4.1$Linux_X86_64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2025-03-21T16:42:16Z</dcterms:created>
  <dc:creator/>
  <dc:description/>
  <dc:language>ru-RU</dc:language>
  <cp:lastModifiedBy/>
  <dcterms:modified xsi:type="dcterms:W3CDTF">2025-11-20T11:22:17Z</dcterms:modified>
  <cp:revision>1</cp:revision>
  <dc:subject/>
  <dc:title/>
</cp:coreProperties>
</file>